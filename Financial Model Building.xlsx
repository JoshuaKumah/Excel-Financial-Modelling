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C2F58EB-34ED-4CC3-86BB-8EC38118362A}" xr6:coauthVersionLast="47" xr6:coauthVersionMax="47" xr10:uidLastSave="{00000000-0000-0000-0000-000000000000}"/>
  <bookViews>
    <workbookView xWindow="-120" yWindow="-120" windowWidth="20730" windowHeight="11160" xr2:uid="{85F0F16B-625D-49B7-842F-DFD914FD8E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4" i="1" l="1"/>
  <c r="G44" i="1"/>
  <c r="F44" i="1"/>
  <c r="E44" i="1"/>
  <c r="D44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6" i="1"/>
  <c r="G36" i="1"/>
  <c r="F36" i="1"/>
  <c r="E36" i="1"/>
  <c r="D36" i="1"/>
  <c r="H35" i="1"/>
  <c r="G35" i="1"/>
  <c r="F35" i="1"/>
  <c r="E35" i="1"/>
  <c r="D35" i="1"/>
  <c r="H32" i="1"/>
  <c r="G32" i="1"/>
  <c r="F32" i="1"/>
  <c r="E32" i="1"/>
  <c r="D32" i="1"/>
  <c r="H31" i="1"/>
  <c r="G31" i="1"/>
  <c r="F31" i="1"/>
  <c r="E31" i="1"/>
  <c r="H30" i="1"/>
  <c r="G30" i="1"/>
  <c r="F30" i="1"/>
  <c r="E30" i="1"/>
  <c r="D30" i="1"/>
  <c r="E66" i="1"/>
  <c r="F66" i="1" s="1"/>
  <c r="G66" i="1" s="1"/>
  <c r="H66" i="1" s="1"/>
  <c r="E48" i="1"/>
  <c r="F48" i="1" s="1"/>
  <c r="G48" i="1" s="1"/>
  <c r="H48" i="1" s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D16" i="1"/>
  <c r="D17" i="1"/>
  <c r="D18" i="1"/>
  <c r="D15" i="1"/>
  <c r="D19" i="1" s="1"/>
  <c r="D7" i="1"/>
  <c r="D8" i="1"/>
  <c r="D9" i="1" s="1"/>
  <c r="D5" i="1"/>
  <c r="H7" i="1" l="1"/>
  <c r="H8" i="1"/>
  <c r="H5" i="1"/>
  <c r="G7" i="1"/>
  <c r="G8" i="1"/>
  <c r="G5" i="1"/>
  <c r="F7" i="1"/>
  <c r="F8" i="1"/>
  <c r="F5" i="1"/>
  <c r="E7" i="1"/>
  <c r="E8" i="1"/>
  <c r="E5" i="1"/>
  <c r="D21" i="1"/>
  <c r="D11" i="1"/>
  <c r="D12" i="1" s="1"/>
  <c r="D24" i="1" l="1"/>
  <c r="D25" i="1" s="1"/>
  <c r="D22" i="1"/>
  <c r="E9" i="1"/>
  <c r="F9" i="1"/>
  <c r="G9" i="1"/>
  <c r="H9" i="1"/>
  <c r="H21" i="1" l="1"/>
  <c r="H11" i="1"/>
  <c r="H12" i="1" s="1"/>
  <c r="G21" i="1"/>
  <c r="G11" i="1"/>
  <c r="G12" i="1" s="1"/>
  <c r="F21" i="1"/>
  <c r="F11" i="1"/>
  <c r="F12" i="1" s="1"/>
  <c r="E21" i="1"/>
  <c r="E11" i="1"/>
  <c r="E12" i="1" s="1"/>
  <c r="E24" i="1" l="1"/>
  <c r="E25" i="1" s="1"/>
  <c r="E22" i="1"/>
  <c r="F24" i="1"/>
  <c r="F25" i="1" s="1"/>
  <c r="F22" i="1"/>
  <c r="G24" i="1"/>
  <c r="G25" i="1" s="1"/>
  <c r="G22" i="1"/>
  <c r="H24" i="1"/>
  <c r="H25" i="1" s="1"/>
  <c r="H22" i="1"/>
</calcChain>
</file>

<file path=xl/sharedStrings.xml><?xml version="1.0" encoding="utf-8"?>
<sst xmlns="http://schemas.openxmlformats.org/spreadsheetml/2006/main" count="116" uniqueCount="38">
  <si>
    <t>$</t>
  </si>
  <si>
    <t>Profit / (Loss)</t>
  </si>
  <si>
    <t>Revenue</t>
  </si>
  <si>
    <t>Number of Orders</t>
  </si>
  <si>
    <t>Order Growth Rate</t>
  </si>
  <si>
    <t>Average Order Value</t>
  </si>
  <si>
    <t>Cost of Goods Sold (per order)</t>
  </si>
  <si>
    <t>Manufacturing</t>
  </si>
  <si>
    <t>Operating Expenses</t>
  </si>
  <si>
    <t>Warehouse Rent</t>
  </si>
  <si>
    <t>Salares &amp; Payroll</t>
  </si>
  <si>
    <t>Marketing</t>
  </si>
  <si>
    <t>Other</t>
  </si>
  <si>
    <t>Corporate Tax Rate</t>
  </si>
  <si>
    <t>#</t>
  </si>
  <si>
    <t>%</t>
  </si>
  <si>
    <t xml:space="preserve">Revenue </t>
  </si>
  <si>
    <t>Income Statement</t>
  </si>
  <si>
    <t>Figures in USD</t>
  </si>
  <si>
    <t>Cost of Goods Sold</t>
  </si>
  <si>
    <t>Order Fulfilment</t>
  </si>
  <si>
    <t>Total COGS</t>
  </si>
  <si>
    <t>Gross Profit</t>
  </si>
  <si>
    <t>Gross Profit Margin</t>
  </si>
  <si>
    <t>Total Operating Expenses</t>
  </si>
  <si>
    <t>Operatng Profit</t>
  </si>
  <si>
    <t>Unit</t>
  </si>
  <si>
    <t>Year 1</t>
  </si>
  <si>
    <t>Year 2</t>
  </si>
  <si>
    <t>Year 3</t>
  </si>
  <si>
    <t>Year 4</t>
  </si>
  <si>
    <t>Year 5</t>
  </si>
  <si>
    <t>Operatng Profit Margin</t>
  </si>
  <si>
    <t>Corporate Profit</t>
  </si>
  <si>
    <t>Upper Case (Scenario 1)</t>
  </si>
  <si>
    <t>Lower Case (Scenario 2)</t>
  </si>
  <si>
    <t>Live Case</t>
  </si>
  <si>
    <t>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</si>
</sst>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Times New Roman"/>
      <family val="2"/>
    </font>
    <font>
      <sz val="11"/>
      <color theme="1"/>
      <name val="Times New Roman"/>
      <family val="2"/>
    </font>
    <font>
      <b/>
      <sz val="11"/>
      <color theme="1"/>
      <name val="Times New Roman"/>
      <family val="1"/>
    </font>
    <font>
      <sz val="11"/>
      <color theme="0"/>
      <name val="Times New Roman"/>
      <family val="1"/>
    </font>
    <font>
      <i/>
      <sz val="11"/>
      <color theme="1"/>
      <name val="Times New Roman"/>
      <family val="1"/>
    </font>
    <font>
      <b/>
      <sz val="11"/>
      <color theme="0"/>
      <name val="Times New Roman"/>
      <family val="1"/>
    </font>
    <font>
      <b/>
      <sz val="11"/>
      <color theme="4"/>
      <name val="Times New Roman"/>
      <family val="1"/>
    </font>
    <font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0" fillId="3" borderId="0" xfId="0" applyFill="1"/>
    <xf numFmtId="0" fontId="2" fillId="0" borderId="0" xfId="0" applyFont="1" applyAlignment="1">
      <alignment horizontal="center"/>
    </xf>
    <xf numFmtId="0" fontId="2" fillId="0" borderId="0" xfId="0" applyFont="1"/>
    <xf numFmtId="0" fontId="2" fillId="3" borderId="0" xfId="0" applyFont="1" applyFill="1" applyAlignment="1">
      <alignment horizontal="center"/>
    </xf>
    <xf numFmtId="3" fontId="0" fillId="0" borderId="0" xfId="0" applyNumberFormat="1"/>
    <xf numFmtId="0" fontId="0" fillId="4" borderId="0" xfId="0" applyFill="1"/>
    <xf numFmtId="0" fontId="0" fillId="6" borderId="0" xfId="0" applyFill="1"/>
    <xf numFmtId="0" fontId="3" fillId="5" borderId="0" xfId="0" applyFont="1" applyFill="1"/>
    <xf numFmtId="0" fontId="2" fillId="6" borderId="0" xfId="0" applyFont="1" applyFill="1"/>
    <xf numFmtId="0" fontId="4" fillId="0" borderId="0" xfId="0" applyFont="1"/>
    <xf numFmtId="0" fontId="5" fillId="4" borderId="0" xfId="0" applyFont="1" applyFill="1"/>
    <xf numFmtId="0" fontId="5" fillId="5" borderId="0" xfId="0" applyFont="1" applyFill="1"/>
    <xf numFmtId="3" fontId="6" fillId="0" borderId="0" xfId="0" applyNumberFormat="1" applyFont="1"/>
    <xf numFmtId="2" fontId="6" fillId="0" borderId="0" xfId="0" applyNumberFormat="1" applyFont="1"/>
    <xf numFmtId="0" fontId="6" fillId="0" borderId="0" xfId="0" applyFont="1"/>
    <xf numFmtId="9" fontId="2" fillId="0" borderId="0" xfId="0" applyNumberFormat="1" applyFont="1"/>
    <xf numFmtId="9" fontId="6" fillId="0" borderId="0" xfId="0" applyNumberFormat="1" applyFont="1"/>
    <xf numFmtId="3" fontId="2" fillId="0" borderId="0" xfId="0" applyNumberFormat="1" applyFont="1"/>
    <xf numFmtId="0" fontId="7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9" fontId="4" fillId="0" borderId="0" xfId="1" applyFont="1"/>
    <xf numFmtId="0" fontId="7" fillId="0" borderId="0" xfId="0" applyFont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3" fontId="2" fillId="0" borderId="2" xfId="0" applyNumberFormat="1" applyFont="1" applyBorder="1"/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37" fontId="2" fillId="2" borderId="2" xfId="0" applyNumberFormat="1" applyFont="1" applyFill="1" applyBorder="1"/>
    <xf numFmtId="0" fontId="2" fillId="3" borderId="0" xfId="0" applyFont="1" applyFill="1"/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3" fontId="2" fillId="0" borderId="3" xfId="0" applyNumberFormat="1" applyFont="1" applyBorder="1"/>
    <xf numFmtId="37" fontId="2" fillId="0" borderId="2" xfId="0" applyNumberFormat="1" applyFont="1" applyBorder="1"/>
    <xf numFmtId="0" fontId="2" fillId="2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2" fontId="2" fillId="0" borderId="0" xfId="0" applyNumberFormat="1" applyFont="1"/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1EB3F1C8-9D0A-4BD2-BB36-D9DF97EF303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924DB-47C2-4726-AABD-2223EBA06575}">
  <dimension ref="B2:J80"/>
  <sheetViews>
    <sheetView tabSelected="1" workbookViewId="0">
      <selection activeCell="K9" sqref="K9"/>
    </sheetView>
  </sheetViews>
  <sheetFormatPr defaultRowHeight="15" x14ac:dyDescent="0.25"/>
  <cols>
    <col min="2" max="2" width="27.42578125" bestFit="1" customWidth="1"/>
    <col min="4" max="4" width="10.28515625" bestFit="1" customWidth="1"/>
  </cols>
  <sheetData>
    <row r="2" spans="2:10" x14ac:dyDescent="0.25">
      <c r="B2" s="6"/>
      <c r="C2" s="11"/>
      <c r="D2" s="11">
        <v>2023</v>
      </c>
      <c r="E2" s="11">
        <v>2024</v>
      </c>
      <c r="F2" s="11">
        <v>2025</v>
      </c>
      <c r="G2" s="11">
        <v>2026</v>
      </c>
      <c r="H2" s="11">
        <v>2027</v>
      </c>
    </row>
    <row r="3" spans="2:10" x14ac:dyDescent="0.25">
      <c r="B3" s="8" t="s">
        <v>18</v>
      </c>
      <c r="C3" s="12" t="s">
        <v>26</v>
      </c>
      <c r="D3" s="12" t="s">
        <v>27</v>
      </c>
      <c r="E3" s="12" t="s">
        <v>28</v>
      </c>
      <c r="F3" s="12" t="s">
        <v>29</v>
      </c>
      <c r="G3" s="12" t="s">
        <v>30</v>
      </c>
      <c r="H3" s="12" t="s">
        <v>31</v>
      </c>
    </row>
    <row r="4" spans="2:10" x14ac:dyDescent="0.25">
      <c r="B4" s="9" t="s">
        <v>17</v>
      </c>
      <c r="C4" s="7"/>
      <c r="D4" s="7"/>
      <c r="E4" s="7"/>
      <c r="F4" s="7"/>
      <c r="G4" s="7"/>
      <c r="H4" s="7"/>
      <c r="I4" s="36" t="s">
        <v>37</v>
      </c>
      <c r="J4" s="35">
        <v>1</v>
      </c>
    </row>
    <row r="5" spans="2:10" x14ac:dyDescent="0.25">
      <c r="B5" s="3" t="s">
        <v>16</v>
      </c>
      <c r="C5" s="2" t="s">
        <v>0</v>
      </c>
      <c r="D5" s="18">
        <f>D30*D32</f>
        <v>119850.00000000001</v>
      </c>
      <c r="E5" s="18">
        <f>E30*E32</f>
        <v>239700.00000000003</v>
      </c>
      <c r="F5" s="18">
        <f>F30*F32</f>
        <v>419475.00000000006</v>
      </c>
      <c r="G5" s="18">
        <f>G30*G32</f>
        <v>629212.5</v>
      </c>
      <c r="H5" s="18">
        <f>H30*H32</f>
        <v>849436.87500000012</v>
      </c>
    </row>
    <row r="6" spans="2:10" x14ac:dyDescent="0.25">
      <c r="B6" s="3" t="s">
        <v>19</v>
      </c>
      <c r="C6" s="2"/>
      <c r="D6" s="5"/>
      <c r="E6" s="5"/>
      <c r="F6" s="5"/>
      <c r="G6" s="5"/>
      <c r="H6" s="5"/>
    </row>
    <row r="7" spans="2:10" x14ac:dyDescent="0.25">
      <c r="B7" t="s">
        <v>7</v>
      </c>
      <c r="C7" s="19" t="s">
        <v>0</v>
      </c>
      <c r="D7" s="5">
        <f>D$30*D35</f>
        <v>19500</v>
      </c>
      <c r="E7" s="5">
        <f>E$30*E35</f>
        <v>39000</v>
      </c>
      <c r="F7" s="5">
        <f>F$30*F35</f>
        <v>68250</v>
      </c>
      <c r="G7" s="5">
        <f>G$30*G35</f>
        <v>102375</v>
      </c>
      <c r="H7" s="5">
        <f>H$30*H35</f>
        <v>138206.25</v>
      </c>
    </row>
    <row r="8" spans="2:10" x14ac:dyDescent="0.25">
      <c r="B8" t="s">
        <v>20</v>
      </c>
      <c r="C8" s="19" t="s">
        <v>0</v>
      </c>
      <c r="D8" s="5">
        <f>D$30*D36</f>
        <v>6750</v>
      </c>
      <c r="E8" s="5">
        <f>E$30*E36</f>
        <v>13500</v>
      </c>
      <c r="F8" s="5">
        <f>F$30*F36</f>
        <v>23625</v>
      </c>
      <c r="G8" s="5">
        <f>G$30*G36</f>
        <v>35437.5</v>
      </c>
      <c r="H8" s="5">
        <f>H$30*H36</f>
        <v>47840.625</v>
      </c>
    </row>
    <row r="9" spans="2:10" x14ac:dyDescent="0.25">
      <c r="B9" s="31" t="s">
        <v>21</v>
      </c>
      <c r="C9" s="32" t="s">
        <v>0</v>
      </c>
      <c r="D9" s="33">
        <f>SUM(D7:D8)</f>
        <v>26250</v>
      </c>
      <c r="E9" s="33">
        <f t="shared" ref="E9:H9" si="0">SUM(E7:E8)</f>
        <v>52500</v>
      </c>
      <c r="F9" s="33">
        <f t="shared" si="0"/>
        <v>91875</v>
      </c>
      <c r="G9" s="33">
        <f t="shared" si="0"/>
        <v>137812.5</v>
      </c>
      <c r="H9" s="33">
        <f t="shared" si="0"/>
        <v>186046.875</v>
      </c>
    </row>
    <row r="10" spans="2:10" x14ac:dyDescent="0.25">
      <c r="C10" s="2"/>
      <c r="D10" s="5"/>
      <c r="E10" s="5"/>
      <c r="F10" s="5"/>
      <c r="G10" s="5"/>
      <c r="H10" s="5"/>
    </row>
    <row r="11" spans="2:10" x14ac:dyDescent="0.25">
      <c r="B11" s="24" t="s">
        <v>22</v>
      </c>
      <c r="C11" s="25" t="s">
        <v>0</v>
      </c>
      <c r="D11" s="26">
        <f>D5-D9</f>
        <v>93600.000000000015</v>
      </c>
      <c r="E11" s="26">
        <f t="shared" ref="E11:H11" si="1">E5-E9</f>
        <v>187200.00000000003</v>
      </c>
      <c r="F11" s="26">
        <f t="shared" si="1"/>
        <v>327600.00000000006</v>
      </c>
      <c r="G11" s="26">
        <f t="shared" si="1"/>
        <v>491400</v>
      </c>
      <c r="H11" s="26">
        <f t="shared" si="1"/>
        <v>663390.00000000012</v>
      </c>
    </row>
    <row r="12" spans="2:10" x14ac:dyDescent="0.25">
      <c r="B12" s="10" t="s">
        <v>23</v>
      </c>
      <c r="C12" s="21" t="s">
        <v>15</v>
      </c>
      <c r="D12" s="22">
        <f>D11/D5</f>
        <v>0.78097622027534419</v>
      </c>
      <c r="E12" s="22">
        <f t="shared" ref="E12:H12" si="2">E11/E5</f>
        <v>0.78097622027534419</v>
      </c>
      <c r="F12" s="22">
        <f t="shared" si="2"/>
        <v>0.78097622027534419</v>
      </c>
      <c r="G12" s="22">
        <f t="shared" si="2"/>
        <v>0.78097622027534419</v>
      </c>
      <c r="H12" s="22">
        <f t="shared" si="2"/>
        <v>0.78097622027534419</v>
      </c>
    </row>
    <row r="13" spans="2:10" x14ac:dyDescent="0.25">
      <c r="C13" s="2"/>
      <c r="D13" s="5"/>
      <c r="E13" s="5"/>
      <c r="F13" s="5"/>
      <c r="G13" s="5"/>
      <c r="H13" s="5"/>
    </row>
    <row r="14" spans="2:10" x14ac:dyDescent="0.25">
      <c r="B14" s="3" t="s">
        <v>8</v>
      </c>
      <c r="C14" s="2"/>
      <c r="D14" s="5"/>
      <c r="E14" s="5"/>
      <c r="F14" s="5"/>
      <c r="G14" s="5"/>
      <c r="H14" s="5"/>
    </row>
    <row r="15" spans="2:10" x14ac:dyDescent="0.25">
      <c r="B15" t="s">
        <v>9</v>
      </c>
      <c r="C15" s="19" t="s">
        <v>0</v>
      </c>
      <c r="D15" s="5">
        <f>D39</f>
        <v>20000</v>
      </c>
      <c r="E15" s="5">
        <f>E39</f>
        <v>20000</v>
      </c>
      <c r="F15" s="5">
        <f>F39</f>
        <v>30000</v>
      </c>
      <c r="G15" s="5">
        <f>G39</f>
        <v>30000</v>
      </c>
      <c r="H15" s="5">
        <f>H39</f>
        <v>30000</v>
      </c>
    </row>
    <row r="16" spans="2:10" x14ac:dyDescent="0.25">
      <c r="B16" t="s">
        <v>10</v>
      </c>
      <c r="C16" s="19" t="s">
        <v>0</v>
      </c>
      <c r="D16" s="5">
        <f>D40</f>
        <v>50000</v>
      </c>
      <c r="E16" s="5">
        <f>E40</f>
        <v>50000</v>
      </c>
      <c r="F16" s="5">
        <f>F40</f>
        <v>100000</v>
      </c>
      <c r="G16" s="5">
        <f>G40</f>
        <v>100000</v>
      </c>
      <c r="H16" s="5">
        <f>H40</f>
        <v>100000</v>
      </c>
    </row>
    <row r="17" spans="2:8" x14ac:dyDescent="0.25">
      <c r="B17" t="s">
        <v>11</v>
      </c>
      <c r="C17" s="19" t="s">
        <v>0</v>
      </c>
      <c r="D17" s="5">
        <f>D41</f>
        <v>25000</v>
      </c>
      <c r="E17" s="5">
        <f>E41</f>
        <v>25000</v>
      </c>
      <c r="F17" s="5">
        <f>F41</f>
        <v>50000</v>
      </c>
      <c r="G17" s="5">
        <f>G41</f>
        <v>100000</v>
      </c>
      <c r="H17" s="5">
        <f>H41</f>
        <v>100000</v>
      </c>
    </row>
    <row r="18" spans="2:8" x14ac:dyDescent="0.25">
      <c r="B18" t="s">
        <v>12</v>
      </c>
      <c r="C18" s="19" t="s">
        <v>0</v>
      </c>
      <c r="D18" s="5">
        <f>D42</f>
        <v>5000</v>
      </c>
      <c r="E18" s="5">
        <f>E42</f>
        <v>5000</v>
      </c>
      <c r="F18" s="5">
        <f>F42</f>
        <v>5000</v>
      </c>
      <c r="G18" s="5">
        <f>G42</f>
        <v>5000</v>
      </c>
      <c r="H18" s="5">
        <f>H42</f>
        <v>5000</v>
      </c>
    </row>
    <row r="19" spans="2:8" x14ac:dyDescent="0.25">
      <c r="B19" s="31" t="s">
        <v>24</v>
      </c>
      <c r="C19" s="32" t="s">
        <v>0</v>
      </c>
      <c r="D19" s="33">
        <f>SUM(D15:D18)</f>
        <v>100000</v>
      </c>
      <c r="E19" s="33">
        <f t="shared" ref="E19:H19" si="3">SUM(E15:E18)</f>
        <v>100000</v>
      </c>
      <c r="F19" s="33">
        <f t="shared" si="3"/>
        <v>185000</v>
      </c>
      <c r="G19" s="33">
        <f t="shared" si="3"/>
        <v>235000</v>
      </c>
      <c r="H19" s="33">
        <f t="shared" si="3"/>
        <v>235000</v>
      </c>
    </row>
    <row r="20" spans="2:8" x14ac:dyDescent="0.25">
      <c r="C20" s="2"/>
      <c r="D20" s="5"/>
      <c r="E20" s="5"/>
      <c r="F20" s="5"/>
      <c r="G20" s="5"/>
      <c r="H20" s="5"/>
    </row>
    <row r="21" spans="2:8" x14ac:dyDescent="0.25">
      <c r="B21" s="24" t="s">
        <v>25</v>
      </c>
      <c r="C21" s="25" t="s">
        <v>0</v>
      </c>
      <c r="D21" s="34">
        <f>D5-D9-D19</f>
        <v>-6399.9999999999854</v>
      </c>
      <c r="E21" s="34">
        <f t="shared" ref="E21:H21" si="4">E5-E9-E19</f>
        <v>87200.000000000029</v>
      </c>
      <c r="F21" s="34">
        <f t="shared" si="4"/>
        <v>142600.00000000006</v>
      </c>
      <c r="G21" s="34">
        <f t="shared" si="4"/>
        <v>256400</v>
      </c>
      <c r="H21" s="34">
        <f t="shared" si="4"/>
        <v>428390.00000000012</v>
      </c>
    </row>
    <row r="22" spans="2:8" x14ac:dyDescent="0.25">
      <c r="B22" s="10" t="s">
        <v>32</v>
      </c>
      <c r="C22" s="21" t="s">
        <v>15</v>
      </c>
      <c r="D22" s="22">
        <f>D21/D5</f>
        <v>-5.3400083437630246E-2</v>
      </c>
      <c r="E22" s="22">
        <f t="shared" ref="E22:H22" si="5">E21/E5</f>
        <v>0.36378806841885697</v>
      </c>
      <c r="F22" s="22">
        <f t="shared" si="5"/>
        <v>0.33994874545562914</v>
      </c>
      <c r="G22" s="22">
        <f t="shared" si="5"/>
        <v>0.40749349385144129</v>
      </c>
      <c r="H22" s="22">
        <f t="shared" si="5"/>
        <v>0.50432234885023097</v>
      </c>
    </row>
    <row r="23" spans="2:8" x14ac:dyDescent="0.25">
      <c r="D23" s="5"/>
      <c r="E23" s="5"/>
      <c r="F23" s="5"/>
      <c r="G23" s="5"/>
      <c r="H23" s="5"/>
    </row>
    <row r="24" spans="2:8" x14ac:dyDescent="0.25">
      <c r="B24" t="s">
        <v>33</v>
      </c>
      <c r="C24" s="19" t="s">
        <v>0</v>
      </c>
      <c r="D24" s="20" t="str">
        <f>IF(D21&lt;0,"NA",D21*D44)</f>
        <v>NA</v>
      </c>
      <c r="E24" s="20">
        <f>IF(E21&lt;0,"NA",E21*E44)</f>
        <v>17440.000000000007</v>
      </c>
      <c r="F24" s="20">
        <f>IF(F21&lt;0,"NA",F21*F44)</f>
        <v>28520.000000000015</v>
      </c>
      <c r="G24" s="20">
        <f>IF(G21&lt;0,"NA",G21*G44)</f>
        <v>51280</v>
      </c>
      <c r="H24" s="20">
        <f>IF(H21&lt;0,"NA",H21*H44)</f>
        <v>85678.000000000029</v>
      </c>
    </row>
    <row r="25" spans="2:8" x14ac:dyDescent="0.25">
      <c r="B25" s="27" t="s">
        <v>1</v>
      </c>
      <c r="C25" s="28" t="s">
        <v>0</v>
      </c>
      <c r="D25" s="29">
        <f>IFERROR(D21-D24,D21)</f>
        <v>-6399.9999999999854</v>
      </c>
      <c r="E25" s="29">
        <f t="shared" ref="E25:H25" si="6">IFERROR(E21-E24,E21)</f>
        <v>69760.000000000029</v>
      </c>
      <c r="F25" s="29">
        <f t="shared" si="6"/>
        <v>114080.00000000004</v>
      </c>
      <c r="G25" s="29">
        <f t="shared" si="6"/>
        <v>205120</v>
      </c>
      <c r="H25" s="29">
        <f t="shared" si="6"/>
        <v>342712.00000000012</v>
      </c>
    </row>
    <row r="28" spans="2:8" x14ac:dyDescent="0.25">
      <c r="B28" s="30" t="s">
        <v>36</v>
      </c>
      <c r="C28" s="4"/>
      <c r="D28" s="1"/>
      <c r="E28" s="1"/>
      <c r="F28" s="1"/>
      <c r="G28" s="1"/>
      <c r="H28" s="1"/>
    </row>
    <row r="29" spans="2:8" x14ac:dyDescent="0.25">
      <c r="B29" t="s">
        <v>2</v>
      </c>
      <c r="C29" s="2"/>
      <c r="D29" s="5"/>
    </row>
    <row r="30" spans="2:8" x14ac:dyDescent="0.25">
      <c r="B30" t="s">
        <v>3</v>
      </c>
      <c r="C30" s="2" t="s">
        <v>14</v>
      </c>
      <c r="D30" s="18">
        <f>CHOOSE($J$4,D48,D66)</f>
        <v>3000</v>
      </c>
      <c r="E30" s="18">
        <f t="shared" ref="E30:H30" si="7">CHOOSE($J$4,E48,E66)</f>
        <v>6000</v>
      </c>
      <c r="F30" s="18">
        <f t="shared" si="7"/>
        <v>10500</v>
      </c>
      <c r="G30" s="18">
        <f t="shared" si="7"/>
        <v>15750</v>
      </c>
      <c r="H30" s="18">
        <f t="shared" si="7"/>
        <v>21262.5</v>
      </c>
    </row>
    <row r="31" spans="2:8" x14ac:dyDescent="0.25">
      <c r="B31" t="s">
        <v>4</v>
      </c>
      <c r="C31" s="2" t="s">
        <v>15</v>
      </c>
      <c r="D31" s="3"/>
      <c r="E31" s="16">
        <f t="shared" ref="D31:H31" si="8">CHOOSE($J$4,E49,E67)</f>
        <v>1</v>
      </c>
      <c r="F31" s="16">
        <f t="shared" si="8"/>
        <v>0.75</v>
      </c>
      <c r="G31" s="16">
        <f t="shared" si="8"/>
        <v>0.5</v>
      </c>
      <c r="H31" s="16">
        <f t="shared" si="8"/>
        <v>0.35</v>
      </c>
    </row>
    <row r="32" spans="2:8" x14ac:dyDescent="0.25">
      <c r="B32" t="s">
        <v>5</v>
      </c>
      <c r="C32" s="2" t="s">
        <v>0</v>
      </c>
      <c r="D32" s="37">
        <f t="shared" ref="D32:H32" si="9">CHOOSE($J$4,D50,D68)</f>
        <v>39.950000000000003</v>
      </c>
      <c r="E32" s="37">
        <f t="shared" si="9"/>
        <v>39.950000000000003</v>
      </c>
      <c r="F32" s="37">
        <f t="shared" si="9"/>
        <v>39.950000000000003</v>
      </c>
      <c r="G32" s="37">
        <f t="shared" si="9"/>
        <v>39.950000000000003</v>
      </c>
      <c r="H32" s="37">
        <f t="shared" si="9"/>
        <v>39.950000000000003</v>
      </c>
    </row>
    <row r="33" spans="2:8" x14ac:dyDescent="0.25">
      <c r="C33" s="2"/>
      <c r="D33" s="3"/>
      <c r="E33" s="23"/>
      <c r="F33" s="23"/>
      <c r="G33" s="23"/>
      <c r="H33" s="23"/>
    </row>
    <row r="34" spans="2:8" x14ac:dyDescent="0.25">
      <c r="B34" t="s">
        <v>6</v>
      </c>
      <c r="C34" s="2"/>
      <c r="D34" s="3"/>
      <c r="E34" s="23"/>
      <c r="F34" s="23"/>
      <c r="G34" s="23"/>
      <c r="H34" s="23"/>
    </row>
    <row r="35" spans="2:8" x14ac:dyDescent="0.25">
      <c r="B35" t="s">
        <v>7</v>
      </c>
      <c r="C35" s="2" t="s">
        <v>0</v>
      </c>
      <c r="D35" s="37">
        <f t="shared" ref="D35:H35" si="10">CHOOSE($J$4,D53,D71)</f>
        <v>6.5</v>
      </c>
      <c r="E35" s="37">
        <f t="shared" si="10"/>
        <v>6.5</v>
      </c>
      <c r="F35" s="37">
        <f t="shared" si="10"/>
        <v>6.5</v>
      </c>
      <c r="G35" s="37">
        <f t="shared" si="10"/>
        <v>6.5</v>
      </c>
      <c r="H35" s="37">
        <f t="shared" si="10"/>
        <v>6.5</v>
      </c>
    </row>
    <row r="36" spans="2:8" x14ac:dyDescent="0.25">
      <c r="B36" t="s">
        <v>20</v>
      </c>
      <c r="C36" s="2" t="s">
        <v>0</v>
      </c>
      <c r="D36" s="37">
        <f t="shared" ref="D36:H36" si="11">CHOOSE($J$4,D54,D72)</f>
        <v>2.25</v>
      </c>
      <c r="E36" s="37">
        <f t="shared" si="11"/>
        <v>2.25</v>
      </c>
      <c r="F36" s="37">
        <f t="shared" si="11"/>
        <v>2.25</v>
      </c>
      <c r="G36" s="37">
        <f t="shared" si="11"/>
        <v>2.25</v>
      </c>
      <c r="H36" s="37">
        <f t="shared" si="11"/>
        <v>2.25</v>
      </c>
    </row>
    <row r="37" spans="2:8" x14ac:dyDescent="0.25">
      <c r="C37" s="2"/>
      <c r="D37" s="3"/>
      <c r="E37" s="23"/>
      <c r="F37" s="23"/>
      <c r="G37" s="23"/>
      <c r="H37" s="23"/>
    </row>
    <row r="38" spans="2:8" x14ac:dyDescent="0.25">
      <c r="B38" t="s">
        <v>8</v>
      </c>
      <c r="C38" s="2" t="s">
        <v>0</v>
      </c>
      <c r="D38" s="3"/>
      <c r="E38" s="23"/>
      <c r="F38" s="23"/>
      <c r="G38" s="23"/>
      <c r="H38" s="23"/>
    </row>
    <row r="39" spans="2:8" x14ac:dyDescent="0.25">
      <c r="B39" t="s">
        <v>9</v>
      </c>
      <c r="C39" s="2" t="s">
        <v>0</v>
      </c>
      <c r="D39" s="18">
        <f t="shared" ref="D39:H39" si="12">CHOOSE($J$4,D57,D75)</f>
        <v>20000</v>
      </c>
      <c r="E39" s="18">
        <f t="shared" si="12"/>
        <v>20000</v>
      </c>
      <c r="F39" s="18">
        <f t="shared" si="12"/>
        <v>30000</v>
      </c>
      <c r="G39" s="18">
        <f t="shared" si="12"/>
        <v>30000</v>
      </c>
      <c r="H39" s="18">
        <f t="shared" si="12"/>
        <v>30000</v>
      </c>
    </row>
    <row r="40" spans="2:8" x14ac:dyDescent="0.25">
      <c r="B40" t="s">
        <v>10</v>
      </c>
      <c r="C40" s="2" t="s">
        <v>0</v>
      </c>
      <c r="D40" s="18">
        <f t="shared" ref="D40:H40" si="13">CHOOSE($J$4,D58,D76)</f>
        <v>50000</v>
      </c>
      <c r="E40" s="18">
        <f t="shared" si="13"/>
        <v>50000</v>
      </c>
      <c r="F40" s="18">
        <f t="shared" si="13"/>
        <v>100000</v>
      </c>
      <c r="G40" s="18">
        <f t="shared" si="13"/>
        <v>100000</v>
      </c>
      <c r="H40" s="18">
        <f t="shared" si="13"/>
        <v>100000</v>
      </c>
    </row>
    <row r="41" spans="2:8" x14ac:dyDescent="0.25">
      <c r="B41" t="s">
        <v>11</v>
      </c>
      <c r="C41" s="2" t="s">
        <v>0</v>
      </c>
      <c r="D41" s="18">
        <f t="shared" ref="D41:H41" si="14">CHOOSE($J$4,D59,D77)</f>
        <v>25000</v>
      </c>
      <c r="E41" s="18">
        <f t="shared" si="14"/>
        <v>25000</v>
      </c>
      <c r="F41" s="18">
        <f t="shared" si="14"/>
        <v>50000</v>
      </c>
      <c r="G41" s="18">
        <f t="shared" si="14"/>
        <v>100000</v>
      </c>
      <c r="H41" s="18">
        <f t="shared" si="14"/>
        <v>100000</v>
      </c>
    </row>
    <row r="42" spans="2:8" x14ac:dyDescent="0.25">
      <c r="B42" t="s">
        <v>12</v>
      </c>
      <c r="C42" s="2" t="s">
        <v>0</v>
      </c>
      <c r="D42" s="18">
        <f t="shared" ref="D42:H42" si="15">CHOOSE($J$4,D60,D78)</f>
        <v>5000</v>
      </c>
      <c r="E42" s="18">
        <f t="shared" si="15"/>
        <v>5000</v>
      </c>
      <c r="F42" s="18">
        <f t="shared" si="15"/>
        <v>5000</v>
      </c>
      <c r="G42" s="18">
        <f t="shared" si="15"/>
        <v>5000</v>
      </c>
      <c r="H42" s="18">
        <f t="shared" si="15"/>
        <v>5000</v>
      </c>
    </row>
    <row r="43" spans="2:8" x14ac:dyDescent="0.25">
      <c r="C43" s="2"/>
      <c r="D43" s="3"/>
      <c r="E43" s="23"/>
      <c r="F43" s="23"/>
      <c r="G43" s="23"/>
      <c r="H43" s="23"/>
    </row>
    <row r="44" spans="2:8" x14ac:dyDescent="0.25">
      <c r="B44" t="s">
        <v>13</v>
      </c>
      <c r="C44" s="2" t="s">
        <v>15</v>
      </c>
      <c r="D44" s="16">
        <f t="shared" ref="D44:H44" si="16">CHOOSE($J$4,D62,D80)</f>
        <v>0.2</v>
      </c>
      <c r="E44" s="16">
        <f t="shared" si="16"/>
        <v>0.2</v>
      </c>
      <c r="F44" s="16">
        <f t="shared" si="16"/>
        <v>0.2</v>
      </c>
      <c r="G44" s="16">
        <f t="shared" si="16"/>
        <v>0.2</v>
      </c>
      <c r="H44" s="16">
        <f t="shared" si="16"/>
        <v>0.2</v>
      </c>
    </row>
    <row r="46" spans="2:8" x14ac:dyDescent="0.25">
      <c r="B46" s="30" t="s">
        <v>34</v>
      </c>
      <c r="C46" s="4"/>
      <c r="D46" s="1"/>
      <c r="E46" s="1"/>
      <c r="F46" s="1"/>
      <c r="G46" s="1"/>
      <c r="H46" s="1"/>
    </row>
    <row r="47" spans="2:8" x14ac:dyDescent="0.25">
      <c r="B47" t="s">
        <v>2</v>
      </c>
      <c r="C47" s="2"/>
      <c r="D47" s="5"/>
    </row>
    <row r="48" spans="2:8" x14ac:dyDescent="0.25">
      <c r="B48" t="s">
        <v>3</v>
      </c>
      <c r="C48" s="19" t="s">
        <v>14</v>
      </c>
      <c r="D48" s="13">
        <v>3000</v>
      </c>
      <c r="E48" s="18">
        <f>D48*(1+E49)</f>
        <v>6000</v>
      </c>
      <c r="F48" s="18">
        <f t="shared" ref="F48" si="17">E48*(1+F49)</f>
        <v>10500</v>
      </c>
      <c r="G48" s="18">
        <f t="shared" ref="G48" si="18">F48*(1+G49)</f>
        <v>15750</v>
      </c>
      <c r="H48" s="18">
        <f t="shared" ref="H48" si="19">G48*(1+H49)</f>
        <v>21262.5</v>
      </c>
    </row>
    <row r="49" spans="2:8" x14ac:dyDescent="0.25">
      <c r="B49" t="s">
        <v>4</v>
      </c>
      <c r="C49" s="19" t="s">
        <v>15</v>
      </c>
      <c r="D49" s="15"/>
      <c r="E49" s="17">
        <v>1</v>
      </c>
      <c r="F49" s="17">
        <v>0.75</v>
      </c>
      <c r="G49" s="17">
        <v>0.5</v>
      </c>
      <c r="H49" s="17">
        <v>0.35</v>
      </c>
    </row>
    <row r="50" spans="2:8" x14ac:dyDescent="0.25">
      <c r="B50" t="s">
        <v>5</v>
      </c>
      <c r="C50" s="19" t="s">
        <v>0</v>
      </c>
      <c r="D50" s="14">
        <v>39.950000000000003</v>
      </c>
      <c r="E50" s="14">
        <v>39.950000000000003</v>
      </c>
      <c r="F50" s="14">
        <v>39.950000000000003</v>
      </c>
      <c r="G50" s="14">
        <v>39.950000000000003</v>
      </c>
      <c r="H50" s="14">
        <v>39.950000000000003</v>
      </c>
    </row>
    <row r="51" spans="2:8" x14ac:dyDescent="0.25">
      <c r="C51" s="2"/>
      <c r="D51" s="15"/>
    </row>
    <row r="52" spans="2:8" x14ac:dyDescent="0.25">
      <c r="B52" t="s">
        <v>6</v>
      </c>
      <c r="C52" s="2"/>
      <c r="D52" s="15"/>
    </row>
    <row r="53" spans="2:8" x14ac:dyDescent="0.25">
      <c r="B53" t="s">
        <v>7</v>
      </c>
      <c r="C53" s="19" t="s">
        <v>0</v>
      </c>
      <c r="D53" s="14">
        <v>6.5</v>
      </c>
      <c r="E53" s="14">
        <v>6.5</v>
      </c>
      <c r="F53" s="14">
        <v>6.5</v>
      </c>
      <c r="G53" s="14">
        <v>6.5</v>
      </c>
      <c r="H53" s="14">
        <v>6.5</v>
      </c>
    </row>
    <row r="54" spans="2:8" x14ac:dyDescent="0.25">
      <c r="B54" t="s">
        <v>20</v>
      </c>
      <c r="C54" s="19" t="s">
        <v>0</v>
      </c>
      <c r="D54" s="14">
        <v>2.25</v>
      </c>
      <c r="E54" s="14">
        <v>2.25</v>
      </c>
      <c r="F54" s="14">
        <v>2.25</v>
      </c>
      <c r="G54" s="14">
        <v>2.25</v>
      </c>
      <c r="H54" s="14">
        <v>2.25</v>
      </c>
    </row>
    <row r="55" spans="2:8" x14ac:dyDescent="0.25">
      <c r="C55" s="19"/>
      <c r="D55" s="15"/>
    </row>
    <row r="56" spans="2:8" x14ac:dyDescent="0.25">
      <c r="B56" t="s">
        <v>8</v>
      </c>
      <c r="C56" s="19" t="s">
        <v>0</v>
      </c>
      <c r="D56" s="15"/>
    </row>
    <row r="57" spans="2:8" x14ac:dyDescent="0.25">
      <c r="B57" t="s">
        <v>9</v>
      </c>
      <c r="C57" s="19" t="s">
        <v>0</v>
      </c>
      <c r="D57" s="13">
        <v>20000</v>
      </c>
      <c r="E57" s="13">
        <v>20000</v>
      </c>
      <c r="F57" s="13">
        <v>30000</v>
      </c>
      <c r="G57" s="13">
        <v>30000</v>
      </c>
      <c r="H57" s="13">
        <v>30000</v>
      </c>
    </row>
    <row r="58" spans="2:8" x14ac:dyDescent="0.25">
      <c r="B58" t="s">
        <v>10</v>
      </c>
      <c r="C58" s="19" t="s">
        <v>0</v>
      </c>
      <c r="D58" s="13">
        <v>50000</v>
      </c>
      <c r="E58" s="13">
        <v>50000</v>
      </c>
      <c r="F58" s="13">
        <v>100000</v>
      </c>
      <c r="G58" s="13">
        <v>100000</v>
      </c>
      <c r="H58" s="13">
        <v>100000</v>
      </c>
    </row>
    <row r="59" spans="2:8" x14ac:dyDescent="0.25">
      <c r="B59" t="s">
        <v>11</v>
      </c>
      <c r="C59" s="19" t="s">
        <v>0</v>
      </c>
      <c r="D59" s="13">
        <v>25000</v>
      </c>
      <c r="E59" s="13">
        <v>25000</v>
      </c>
      <c r="F59" s="13">
        <v>50000</v>
      </c>
      <c r="G59" s="13">
        <v>100000</v>
      </c>
      <c r="H59" s="13">
        <v>100000</v>
      </c>
    </row>
    <row r="60" spans="2:8" x14ac:dyDescent="0.25">
      <c r="B60" t="s">
        <v>12</v>
      </c>
      <c r="C60" s="19" t="s">
        <v>0</v>
      </c>
      <c r="D60" s="13">
        <v>5000</v>
      </c>
      <c r="E60" s="13">
        <v>5000</v>
      </c>
      <c r="F60" s="13">
        <v>5000</v>
      </c>
      <c r="G60" s="13">
        <v>5000</v>
      </c>
      <c r="H60" s="13">
        <v>5000</v>
      </c>
    </row>
    <row r="61" spans="2:8" x14ac:dyDescent="0.25">
      <c r="C61" s="19"/>
      <c r="D61" s="15"/>
    </row>
    <row r="62" spans="2:8" x14ac:dyDescent="0.25">
      <c r="B62" t="s">
        <v>13</v>
      </c>
      <c r="C62" s="19" t="s">
        <v>15</v>
      </c>
      <c r="D62" s="17">
        <v>0.2</v>
      </c>
      <c r="E62" s="17">
        <v>0.2</v>
      </c>
      <c r="F62" s="17">
        <v>0.2</v>
      </c>
      <c r="G62" s="17">
        <v>0.2</v>
      </c>
      <c r="H62" s="17">
        <v>0.2</v>
      </c>
    </row>
    <row r="64" spans="2:8" x14ac:dyDescent="0.25">
      <c r="B64" s="30" t="s">
        <v>35</v>
      </c>
      <c r="C64" s="4"/>
      <c r="D64" s="1"/>
      <c r="E64" s="1"/>
      <c r="F64" s="1"/>
      <c r="G64" s="1"/>
      <c r="H64" s="1"/>
    </row>
    <row r="65" spans="2:8" x14ac:dyDescent="0.25">
      <c r="B65" t="s">
        <v>2</v>
      </c>
      <c r="C65" s="2"/>
      <c r="D65" s="5"/>
    </row>
    <row r="66" spans="2:8" x14ac:dyDescent="0.25">
      <c r="B66" t="s">
        <v>3</v>
      </c>
      <c r="C66" s="19" t="s">
        <v>14</v>
      </c>
      <c r="D66" s="13">
        <v>2000</v>
      </c>
      <c r="E66" s="18">
        <f>D66*(1+E67)</f>
        <v>4000</v>
      </c>
      <c r="F66" s="18">
        <f t="shared" ref="F66" si="20">E66*(1+F67)</f>
        <v>7000</v>
      </c>
      <c r="G66" s="18">
        <f t="shared" ref="G66" si="21">F66*(1+G67)</f>
        <v>10500</v>
      </c>
      <c r="H66" s="18">
        <f t="shared" ref="H66" si="22">G66*(1+H67)</f>
        <v>14175.000000000002</v>
      </c>
    </row>
    <row r="67" spans="2:8" x14ac:dyDescent="0.25">
      <c r="B67" t="s">
        <v>4</v>
      </c>
      <c r="C67" s="19" t="s">
        <v>15</v>
      </c>
      <c r="D67" s="15"/>
      <c r="E67" s="17">
        <v>1</v>
      </c>
      <c r="F67" s="17">
        <v>0.75</v>
      </c>
      <c r="G67" s="17">
        <v>0.5</v>
      </c>
      <c r="H67" s="17">
        <v>0.35</v>
      </c>
    </row>
    <row r="68" spans="2:8" x14ac:dyDescent="0.25">
      <c r="B68" t="s">
        <v>5</v>
      </c>
      <c r="C68" s="19" t="s">
        <v>0</v>
      </c>
      <c r="D68" s="14">
        <v>34.950000000000003</v>
      </c>
      <c r="E68" s="14">
        <v>34.950000000000003</v>
      </c>
      <c r="F68" s="14">
        <v>34.950000000000003</v>
      </c>
      <c r="G68" s="14">
        <v>34.950000000000003</v>
      </c>
      <c r="H68" s="14">
        <v>34.950000000000003</v>
      </c>
    </row>
    <row r="69" spans="2:8" x14ac:dyDescent="0.25">
      <c r="C69" s="19"/>
      <c r="D69" s="15"/>
    </row>
    <row r="70" spans="2:8" x14ac:dyDescent="0.25">
      <c r="B70" t="s">
        <v>6</v>
      </c>
      <c r="C70" s="19"/>
      <c r="D70" s="15"/>
    </row>
    <row r="71" spans="2:8" x14ac:dyDescent="0.25">
      <c r="B71" t="s">
        <v>7</v>
      </c>
      <c r="C71" s="19" t="s">
        <v>0</v>
      </c>
      <c r="D71" s="14">
        <v>8</v>
      </c>
      <c r="E71" s="14">
        <v>8</v>
      </c>
      <c r="F71" s="14">
        <v>8</v>
      </c>
      <c r="G71" s="14">
        <v>8</v>
      </c>
      <c r="H71" s="14">
        <v>8</v>
      </c>
    </row>
    <row r="72" spans="2:8" x14ac:dyDescent="0.25">
      <c r="B72" t="s">
        <v>20</v>
      </c>
      <c r="C72" s="19" t="s">
        <v>0</v>
      </c>
      <c r="D72" s="14">
        <v>2.25</v>
      </c>
      <c r="E72" s="14">
        <v>2.25</v>
      </c>
      <c r="F72" s="14">
        <v>2.25</v>
      </c>
      <c r="G72" s="14">
        <v>2.25</v>
      </c>
      <c r="H72" s="14">
        <v>2.25</v>
      </c>
    </row>
    <row r="73" spans="2:8" x14ac:dyDescent="0.25">
      <c r="C73" s="19"/>
      <c r="D73" s="15"/>
    </row>
    <row r="74" spans="2:8" x14ac:dyDescent="0.25">
      <c r="B74" t="s">
        <v>8</v>
      </c>
      <c r="C74" s="19" t="s">
        <v>0</v>
      </c>
      <c r="D74" s="15"/>
    </row>
    <row r="75" spans="2:8" x14ac:dyDescent="0.25">
      <c r="B75" t="s">
        <v>9</v>
      </c>
      <c r="C75" s="19" t="s">
        <v>0</v>
      </c>
      <c r="D75" s="13">
        <v>20000</v>
      </c>
      <c r="E75" s="13">
        <v>20000</v>
      </c>
      <c r="F75" s="13">
        <v>30000</v>
      </c>
      <c r="G75" s="13">
        <v>30000</v>
      </c>
      <c r="H75" s="13">
        <v>30000</v>
      </c>
    </row>
    <row r="76" spans="2:8" x14ac:dyDescent="0.25">
      <c r="B76" t="s">
        <v>10</v>
      </c>
      <c r="C76" s="19" t="s">
        <v>0</v>
      </c>
      <c r="D76" s="13">
        <v>50000</v>
      </c>
      <c r="E76" s="13">
        <v>50000</v>
      </c>
      <c r="F76" s="13">
        <v>100000</v>
      </c>
      <c r="G76" s="13">
        <v>100000</v>
      </c>
      <c r="H76" s="13">
        <v>100000</v>
      </c>
    </row>
    <row r="77" spans="2:8" x14ac:dyDescent="0.25">
      <c r="B77" t="s">
        <v>11</v>
      </c>
      <c r="C77" s="19" t="s">
        <v>0</v>
      </c>
      <c r="D77" s="13">
        <v>25000</v>
      </c>
      <c r="E77" s="13">
        <v>25000</v>
      </c>
      <c r="F77" s="13">
        <v>50000</v>
      </c>
      <c r="G77" s="13">
        <v>100000</v>
      </c>
      <c r="H77" s="13">
        <v>100000</v>
      </c>
    </row>
    <row r="78" spans="2:8" x14ac:dyDescent="0.25">
      <c r="B78" t="s">
        <v>12</v>
      </c>
      <c r="C78" s="19" t="s">
        <v>0</v>
      </c>
      <c r="D78" s="13">
        <v>5000</v>
      </c>
      <c r="E78" s="13">
        <v>5000</v>
      </c>
      <c r="F78" s="13">
        <v>5000</v>
      </c>
      <c r="G78" s="13">
        <v>5000</v>
      </c>
      <c r="H78" s="13">
        <v>5000</v>
      </c>
    </row>
    <row r="79" spans="2:8" x14ac:dyDescent="0.25">
      <c r="C79" s="19"/>
      <c r="D79" s="15"/>
    </row>
    <row r="80" spans="2:8" x14ac:dyDescent="0.25">
      <c r="B80" t="s">
        <v>13</v>
      </c>
      <c r="C80" s="19" t="s">
        <v>15</v>
      </c>
      <c r="D80" s="17">
        <v>0.25</v>
      </c>
      <c r="E80" s="17">
        <v>0.25</v>
      </c>
      <c r="F80" s="17">
        <v>0.25</v>
      </c>
      <c r="G80" s="17">
        <v>0.25</v>
      </c>
      <c r="H80" s="17">
        <v>0.25</v>
      </c>
    </row>
  </sheetData>
  <dataValidations count="1">
    <dataValidation type="list" allowBlank="1" showInputMessage="1" showErrorMessage="1" sqref="J4" xr:uid="{E7AEDDEA-F8FE-4839-9C4C-1C6DDC76BA9F}">
      <formula1>"1,2"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Kumah</dc:creator>
  <cp:lastModifiedBy>Joshua Kumah</cp:lastModifiedBy>
  <dcterms:created xsi:type="dcterms:W3CDTF">2025-07-10T14:58:13Z</dcterms:created>
  <dcterms:modified xsi:type="dcterms:W3CDTF">2025-07-10T16:41:02Z</dcterms:modified>
</cp:coreProperties>
</file>